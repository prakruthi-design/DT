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L869JR\AppData\Local\Microsoft\Windows\INetCache\Content.Outlook\INU83KGV\"/>
    </mc:Choice>
  </mc:AlternateContent>
  <xr:revisionPtr revIDLastSave="0" documentId="13_ncr:1_{F5AC3F6E-6EE8-4445-943C-ED7C0A8C3DEB}" xr6:coauthVersionLast="47" xr6:coauthVersionMax="47" xr10:uidLastSave="{00000000-0000-0000-0000-000000000000}"/>
  <bookViews>
    <workbookView xWindow="-110" yWindow="-110" windowWidth="19420" windowHeight="11500" xr2:uid="{72FC2E51-1A8B-47BE-8040-D96C233E70FD}"/>
  </bookViews>
  <sheets>
    <sheet name="Sheet 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4" i="2" l="1"/>
  <c r="K18" i="2"/>
  <c r="K17" i="2"/>
  <c r="K16" i="2"/>
  <c r="K15" i="2"/>
  <c r="K14" i="2"/>
  <c r="K13" i="2"/>
  <c r="K12" i="2"/>
  <c r="K11" i="2"/>
  <c r="K10" i="2"/>
  <c r="K9" i="2"/>
  <c r="K8" i="2"/>
  <c r="K7" i="2"/>
  <c r="K6" i="2"/>
  <c r="K5" i="2"/>
  <c r="K4" i="2"/>
  <c r="J18" i="2"/>
  <c r="J17" i="2"/>
  <c r="J16" i="2"/>
  <c r="J15" i="2"/>
  <c r="J14" i="2"/>
  <c r="J13" i="2"/>
  <c r="J12" i="2"/>
  <c r="J11" i="2"/>
  <c r="J10" i="2"/>
  <c r="J9" i="2"/>
  <c r="J8" i="2"/>
  <c r="J7" i="2"/>
  <c r="J4" i="2"/>
  <c r="J6" i="2"/>
  <c r="J5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J19" i="2" l="1"/>
  <c r="K19" i="2"/>
  <c r="I19" i="2"/>
</calcChain>
</file>

<file path=xl/sharedStrings.xml><?xml version="1.0" encoding="utf-8"?>
<sst xmlns="http://schemas.openxmlformats.org/spreadsheetml/2006/main" count="42" uniqueCount="34">
  <si>
    <t>Section</t>
  </si>
  <si>
    <t>Green</t>
  </si>
  <si>
    <t>Yellow</t>
  </si>
  <si>
    <t>Red</t>
  </si>
  <si>
    <t>Weightage</t>
  </si>
  <si>
    <t>Overall Score</t>
  </si>
  <si>
    <t>Entity Existence</t>
  </si>
  <si>
    <t>Address validation</t>
  </si>
  <si>
    <t>Domain Verification</t>
  </si>
  <si>
    <t>B2B verification</t>
  </si>
  <si>
    <t>Legal &amp; Sanctions</t>
  </si>
  <si>
    <t>Historic Legal Cases</t>
  </si>
  <si>
    <t>Sanctions</t>
  </si>
  <si>
    <t>Adverse Media</t>
  </si>
  <si>
    <t>Adverse Media Reports</t>
  </si>
  <si>
    <t>Google Reviews</t>
  </si>
  <si>
    <t>Financial</t>
  </si>
  <si>
    <t>GST Filing</t>
  </si>
  <si>
    <t>MSME</t>
  </si>
  <si>
    <t>Credit Score</t>
  </si>
  <si>
    <t>Detailed Financial review for 3 years</t>
  </si>
  <si>
    <t>Contingent Liabilities</t>
  </si>
  <si>
    <t>Auditor's Opinion</t>
  </si>
  <si>
    <t>Cyber Score</t>
  </si>
  <si>
    <t>ESG Score</t>
  </si>
  <si>
    <t>Cyber</t>
  </si>
  <si>
    <t>ESG</t>
  </si>
  <si>
    <t>Sub Sections</t>
  </si>
  <si>
    <t xml:space="preserve">Scores </t>
  </si>
  <si>
    <t>0 to 5</t>
  </si>
  <si>
    <r>
      <rPr>
        <b/>
        <sz val="10"/>
        <color theme="1"/>
        <rFont val="EYInterstate Light"/>
      </rPr>
      <t>Note :</t>
    </r>
    <r>
      <rPr>
        <sz val="10"/>
        <color theme="1"/>
        <rFont val="EYInterstate Light"/>
      </rPr>
      <t xml:space="preserve">
a) ESG Scores is applicable only for vendors that file BRSR returns.
B) For rest of the vendors, weightage of financial section and legal &amp; Sanctions Section to be increase by 5 % each.</t>
    </r>
  </si>
  <si>
    <t>Risk Rating</t>
  </si>
  <si>
    <t>8 to 10</t>
  </si>
  <si>
    <t>5 to 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</si>
</sst>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rgb="FF000000"/>
      <name val="EYInterstate Light"/>
    </font>
    <font>
      <sz val="11"/>
      <color rgb="FF000000"/>
      <name val="EYInterstate Light"/>
    </font>
    <font>
      <sz val="10"/>
      <color theme="1"/>
      <name val="EYInterstate Light"/>
    </font>
    <font>
      <b/>
      <sz val="10"/>
      <color theme="1"/>
      <name val="EYInterstate Light"/>
    </font>
    <font>
      <b/>
      <sz val="11"/>
      <color theme="1"/>
      <name val="EYInterstate Light"/>
    </font>
    <font>
      <b/>
      <sz val="11"/>
      <color theme="0"/>
      <name val="EYInterstate Light"/>
    </font>
  </fonts>
  <fills count="7">
    <fill>
      <patternFill patternType="none"/>
    </fill>
    <fill>
      <patternFill patternType="gray125"/>
    </fill>
    <fill>
      <patternFill patternType="solid">
        <fgColor rgb="FFFFE6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horizontal="center" vertical="center" readingOrder="1"/>
    </xf>
    <xf numFmtId="0" fontId="1" fillId="0" borderId="1" xfId="0" applyFont="1" applyBorder="1" applyAlignment="1">
      <alignment horizontal="center" vertical="center" readingOrder="1"/>
    </xf>
    <xf numFmtId="0" fontId="2" fillId="0" borderId="1" xfId="0" applyFont="1" applyBorder="1" applyAlignment="1">
      <alignment horizontal="left" vertical="center" readingOrder="1"/>
    </xf>
    <xf numFmtId="9" fontId="2" fillId="0" borderId="1" xfId="0" applyNumberFormat="1" applyFont="1" applyBorder="1" applyAlignment="1">
      <alignment horizontal="center" vertical="center" readingOrder="1"/>
    </xf>
    <xf numFmtId="9" fontId="1" fillId="0" borderId="1" xfId="0" applyNumberFormat="1" applyFont="1" applyBorder="1" applyAlignment="1">
      <alignment horizontal="center" vertical="center" readingOrder="1"/>
    </xf>
    <xf numFmtId="4" fontId="2" fillId="0" borderId="1" xfId="0" applyNumberFormat="1" applyFont="1" applyBorder="1" applyAlignment="1">
      <alignment horizontal="center" vertical="center" readingOrder="1"/>
    </xf>
    <xf numFmtId="3" fontId="2" fillId="0" borderId="1" xfId="0" applyNumberFormat="1" applyFont="1" applyBorder="1" applyAlignment="1">
      <alignment horizontal="center" vertical="center" readingOrder="1"/>
    </xf>
    <xf numFmtId="9" fontId="0" fillId="0" borderId="0" xfId="0" applyNumberFormat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readingOrder="1"/>
    </xf>
    <xf numFmtId="0" fontId="1" fillId="4" borderId="1" xfId="0" applyFont="1" applyFill="1" applyBorder="1" applyAlignment="1">
      <alignment horizontal="center" vertical="center" readingOrder="1"/>
    </xf>
    <xf numFmtId="0" fontId="6" fillId="5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 readingOrder="1"/>
    </xf>
    <xf numFmtId="0" fontId="5" fillId="6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readingOrder="1"/>
    </xf>
    <xf numFmtId="0" fontId="3" fillId="0" borderId="1" xfId="0" applyFont="1" applyBorder="1" applyAlignment="1">
      <alignment vertical="top" wrapText="1"/>
    </xf>
    <xf numFmtId="9" fontId="1" fillId="0" borderId="3" xfId="0" applyNumberFormat="1" applyFont="1" applyBorder="1" applyAlignment="1">
      <alignment horizontal="center" vertical="center" readingOrder="1"/>
    </xf>
    <xf numFmtId="9" fontId="1" fillId="0" borderId="2" xfId="0" applyNumberFormat="1" applyFont="1" applyBorder="1" applyAlignment="1">
      <alignment horizontal="center" vertical="center" readingOrder="1"/>
    </xf>
    <xf numFmtId="9" fontId="1" fillId="0" borderId="4" xfId="0" applyNumberFormat="1" applyFont="1" applyBorder="1" applyAlignment="1">
      <alignment horizontal="center" vertical="center" readingOrder="1"/>
    </xf>
    <xf numFmtId="0" fontId="1" fillId="0" borderId="1" xfId="0" applyFont="1" applyBorder="1" applyAlignment="1">
      <alignment horizontal="center"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85F4D9-0CA7-430F-A1A0-0F0ED983F254}">
  <dimension ref="B2:K23"/>
  <sheetViews>
    <sheetView showGridLines="0" tabSelected="1" zoomScale="80" zoomScaleNormal="80" workbookViewId="0">
      <selection activeCell="J3" sqref="J3"/>
    </sheetView>
  </sheetViews>
  <sheetFormatPr defaultRowHeight="14.5" x14ac:dyDescent="0.35"/>
  <cols>
    <col min="2" max="2" width="18" bestFit="1" customWidth="1"/>
    <col min="3" max="3" width="10.90625" bestFit="1" customWidth="1"/>
    <col min="4" max="4" width="34.90625" bestFit="1" customWidth="1"/>
    <col min="5" max="5" width="10.90625" bestFit="1" customWidth="1"/>
    <col min="6" max="8" width="10.90625" customWidth="1"/>
    <col min="9" max="9" width="13.6328125" bestFit="1" customWidth="1"/>
    <col min="13" max="13" width="14.08984375" bestFit="1" customWidth="1"/>
    <col min="14" max="15" width="7.26953125" bestFit="1" customWidth="1"/>
    <col min="16" max="16" width="7.81640625" bestFit="1" customWidth="1"/>
  </cols>
  <sheetData>
    <row r="2" spans="2:11" ht="16" x14ac:dyDescent="0.35">
      <c r="F2" s="17" t="s">
        <v>28</v>
      </c>
      <c r="G2" s="17"/>
      <c r="H2" s="17"/>
      <c r="I2" s="17" t="s">
        <v>5</v>
      </c>
      <c r="J2" s="17"/>
      <c r="K2" s="17"/>
    </row>
    <row r="3" spans="2:11" ht="16" x14ac:dyDescent="0.35">
      <c r="B3" s="1" t="s">
        <v>0</v>
      </c>
      <c r="C3" s="1" t="s">
        <v>4</v>
      </c>
      <c r="D3" s="1" t="s">
        <v>27</v>
      </c>
      <c r="E3" s="1" t="s">
        <v>4</v>
      </c>
      <c r="F3" s="10" t="s">
        <v>1</v>
      </c>
      <c r="G3" s="11" t="s">
        <v>2</v>
      </c>
      <c r="H3" s="15" t="s">
        <v>3</v>
      </c>
      <c r="I3" s="10" t="s">
        <v>1</v>
      </c>
      <c r="J3" s="11" t="s">
        <v>2</v>
      </c>
      <c r="K3" s="15" t="s">
        <v>3</v>
      </c>
    </row>
    <row r="4" spans="2:11" ht="16" x14ac:dyDescent="0.35">
      <c r="B4" s="22" t="s">
        <v>6</v>
      </c>
      <c r="C4" s="19">
        <v>0.15</v>
      </c>
      <c r="D4" s="3" t="s">
        <v>7</v>
      </c>
      <c r="E4" s="4">
        <v>0.7</v>
      </c>
      <c r="F4" s="7">
        <v>10</v>
      </c>
      <c r="G4" s="7">
        <v>7</v>
      </c>
      <c r="H4" s="7">
        <v>5</v>
      </c>
      <c r="I4" s="6">
        <f>$C$4*E4*F4</f>
        <v>1.05</v>
      </c>
      <c r="J4" s="6">
        <f>$C$4*E4*G4</f>
        <v>0.73499999999999999</v>
      </c>
      <c r="K4" s="6">
        <f>$C$4*E4*H4</f>
        <v>0.52500000000000002</v>
      </c>
    </row>
    <row r="5" spans="2:11" ht="16" x14ac:dyDescent="0.35">
      <c r="B5" s="22"/>
      <c r="C5" s="20"/>
      <c r="D5" s="3" t="s">
        <v>8</v>
      </c>
      <c r="E5" s="4">
        <v>0.15</v>
      </c>
      <c r="F5" s="7">
        <v>10</v>
      </c>
      <c r="G5" s="7">
        <v>7</v>
      </c>
      <c r="H5" s="7">
        <v>5</v>
      </c>
      <c r="I5" s="6">
        <f t="shared" ref="I5:I6" si="0">$C$4*E5*F5</f>
        <v>0.22499999999999998</v>
      </c>
      <c r="J5" s="6">
        <f>$C$4*E5*G5</f>
        <v>0.1575</v>
      </c>
      <c r="K5" s="6">
        <f>$C$4*E5*H5</f>
        <v>0.11249999999999999</v>
      </c>
    </row>
    <row r="6" spans="2:11" ht="16" x14ac:dyDescent="0.35">
      <c r="B6" s="22"/>
      <c r="C6" s="21"/>
      <c r="D6" s="3" t="s">
        <v>9</v>
      </c>
      <c r="E6" s="4">
        <v>0.15</v>
      </c>
      <c r="F6" s="7">
        <v>10</v>
      </c>
      <c r="G6" s="7">
        <v>7</v>
      </c>
      <c r="H6" s="7">
        <v>5</v>
      </c>
      <c r="I6" s="6">
        <f t="shared" si="0"/>
        <v>0.22499999999999998</v>
      </c>
      <c r="J6" s="6">
        <f>$C$4*E6*G6</f>
        <v>0.1575</v>
      </c>
      <c r="K6" s="6">
        <f>$C$4*E6*H6</f>
        <v>0.11249999999999999</v>
      </c>
    </row>
    <row r="7" spans="2:11" ht="16" x14ac:dyDescent="0.35">
      <c r="B7" s="22" t="s">
        <v>10</v>
      </c>
      <c r="C7" s="19">
        <v>0.2</v>
      </c>
      <c r="D7" s="3" t="s">
        <v>11</v>
      </c>
      <c r="E7" s="4">
        <v>0.6</v>
      </c>
      <c r="F7" s="7">
        <v>10</v>
      </c>
      <c r="G7" s="7">
        <v>7</v>
      </c>
      <c r="H7" s="7">
        <v>5</v>
      </c>
      <c r="I7" s="6">
        <f>$C$7*E7*F7</f>
        <v>1.2</v>
      </c>
      <c r="J7" s="6">
        <f>$C$7*E7*G7</f>
        <v>0.84</v>
      </c>
      <c r="K7" s="6">
        <f>$C$7*E7*H7</f>
        <v>0.6</v>
      </c>
    </row>
    <row r="8" spans="2:11" ht="16" x14ac:dyDescent="0.35">
      <c r="B8" s="22"/>
      <c r="C8" s="21"/>
      <c r="D8" s="3" t="s">
        <v>12</v>
      </c>
      <c r="E8" s="4">
        <v>0.4</v>
      </c>
      <c r="F8" s="7">
        <v>10</v>
      </c>
      <c r="G8" s="7">
        <v>7</v>
      </c>
      <c r="H8" s="7">
        <v>5</v>
      </c>
      <c r="I8" s="6">
        <f>$C$7*E8*F8</f>
        <v>0.80000000000000016</v>
      </c>
      <c r="J8" s="6">
        <f>$C$7*E8*G8</f>
        <v>0.56000000000000005</v>
      </c>
      <c r="K8" s="6">
        <f>$C$7*E8*H8</f>
        <v>0.40000000000000008</v>
      </c>
    </row>
    <row r="9" spans="2:11" ht="16" x14ac:dyDescent="0.35">
      <c r="B9" s="22" t="s">
        <v>13</v>
      </c>
      <c r="C9" s="19">
        <v>0.1</v>
      </c>
      <c r="D9" s="3" t="s">
        <v>14</v>
      </c>
      <c r="E9" s="4">
        <v>0.7</v>
      </c>
      <c r="F9" s="7">
        <v>10</v>
      </c>
      <c r="G9" s="7">
        <v>7</v>
      </c>
      <c r="H9" s="7">
        <v>5</v>
      </c>
      <c r="I9" s="6">
        <f>$C$9*E9*F9</f>
        <v>0.7</v>
      </c>
      <c r="J9" s="6">
        <f>$C$9*E9*G9</f>
        <v>0.48999999999999994</v>
      </c>
      <c r="K9" s="6">
        <f>$C$9*E9*H9</f>
        <v>0.35</v>
      </c>
    </row>
    <row r="10" spans="2:11" ht="16" x14ac:dyDescent="0.35">
      <c r="B10" s="22"/>
      <c r="C10" s="21"/>
      <c r="D10" s="3" t="s">
        <v>15</v>
      </c>
      <c r="E10" s="4">
        <v>0.3</v>
      </c>
      <c r="F10" s="7">
        <v>10</v>
      </c>
      <c r="G10" s="7">
        <v>7</v>
      </c>
      <c r="H10" s="7">
        <v>5</v>
      </c>
      <c r="I10" s="6">
        <f>$C$9*E10*F10</f>
        <v>0.3</v>
      </c>
      <c r="J10" s="6">
        <f>$C$9*E10*G10</f>
        <v>0.21</v>
      </c>
      <c r="K10" s="6">
        <f>$C$9*E10*H10</f>
        <v>0.15</v>
      </c>
    </row>
    <row r="11" spans="2:11" ht="16" x14ac:dyDescent="0.35">
      <c r="B11" s="22" t="s">
        <v>16</v>
      </c>
      <c r="C11" s="19">
        <v>0.35</v>
      </c>
      <c r="D11" s="3" t="s">
        <v>17</v>
      </c>
      <c r="E11" s="4">
        <v>0.1</v>
      </c>
      <c r="F11" s="7">
        <v>10</v>
      </c>
      <c r="G11" s="7">
        <v>7</v>
      </c>
      <c r="H11" s="7">
        <v>5</v>
      </c>
      <c r="I11" s="6">
        <f>$C$11*E11*F11</f>
        <v>0.35</v>
      </c>
      <c r="J11" s="6">
        <f>$C$11*E11*G11</f>
        <v>0.24499999999999997</v>
      </c>
      <c r="K11" s="6">
        <f>$C$11*E11*H11</f>
        <v>0.17499999999999999</v>
      </c>
    </row>
    <row r="12" spans="2:11" ht="16" x14ac:dyDescent="0.35">
      <c r="B12" s="22"/>
      <c r="C12" s="20"/>
      <c r="D12" s="3" t="s">
        <v>18</v>
      </c>
      <c r="E12" s="4">
        <v>0.1</v>
      </c>
      <c r="F12" s="7">
        <v>10</v>
      </c>
      <c r="G12" s="7">
        <v>7</v>
      </c>
      <c r="H12" s="7">
        <v>5</v>
      </c>
      <c r="I12" s="6">
        <f t="shared" ref="I12:I16" si="1">$C$11*E12*F12</f>
        <v>0.35</v>
      </c>
      <c r="J12" s="6">
        <f t="shared" ref="J12:J16" si="2">$C$11*E12*G12</f>
        <v>0.24499999999999997</v>
      </c>
      <c r="K12" s="6">
        <f t="shared" ref="K12:K16" si="3">$C$11*E12*H12</f>
        <v>0.17499999999999999</v>
      </c>
    </row>
    <row r="13" spans="2:11" ht="16" x14ac:dyDescent="0.35">
      <c r="B13" s="22"/>
      <c r="C13" s="20"/>
      <c r="D13" s="3" t="s">
        <v>19</v>
      </c>
      <c r="E13" s="4">
        <v>0.2</v>
      </c>
      <c r="F13" s="7">
        <v>10</v>
      </c>
      <c r="G13" s="7">
        <v>7</v>
      </c>
      <c r="H13" s="7">
        <v>5</v>
      </c>
      <c r="I13" s="6">
        <f t="shared" si="1"/>
        <v>0.7</v>
      </c>
      <c r="J13" s="6">
        <f t="shared" si="2"/>
        <v>0.48999999999999994</v>
      </c>
      <c r="K13" s="6">
        <f t="shared" si="3"/>
        <v>0.35</v>
      </c>
    </row>
    <row r="14" spans="2:11" ht="16" x14ac:dyDescent="0.35">
      <c r="B14" s="22"/>
      <c r="C14" s="20"/>
      <c r="D14" s="3" t="s">
        <v>20</v>
      </c>
      <c r="E14" s="4">
        <v>0.5</v>
      </c>
      <c r="F14" s="7">
        <v>10</v>
      </c>
      <c r="G14" s="7">
        <v>7</v>
      </c>
      <c r="H14" s="7">
        <v>5</v>
      </c>
      <c r="I14" s="6">
        <f t="shared" si="1"/>
        <v>1.75</v>
      </c>
      <c r="J14" s="6">
        <f t="shared" si="2"/>
        <v>1.2249999999999999</v>
      </c>
      <c r="K14" s="6">
        <f t="shared" si="3"/>
        <v>0.875</v>
      </c>
    </row>
    <row r="15" spans="2:11" ht="16" x14ac:dyDescent="0.35">
      <c r="B15" s="22"/>
      <c r="C15" s="20"/>
      <c r="D15" s="3" t="s">
        <v>21</v>
      </c>
      <c r="E15" s="4">
        <v>0.05</v>
      </c>
      <c r="F15" s="7">
        <v>10</v>
      </c>
      <c r="G15" s="7">
        <v>7</v>
      </c>
      <c r="H15" s="7">
        <v>5</v>
      </c>
      <c r="I15" s="6">
        <f t="shared" si="1"/>
        <v>0.17499999999999999</v>
      </c>
      <c r="J15" s="6">
        <f t="shared" si="2"/>
        <v>0.12249999999999998</v>
      </c>
      <c r="K15" s="6">
        <f t="shared" si="3"/>
        <v>8.7499999999999994E-2</v>
      </c>
    </row>
    <row r="16" spans="2:11" ht="16" x14ac:dyDescent="0.35">
      <c r="B16" s="22"/>
      <c r="C16" s="21"/>
      <c r="D16" s="3" t="s">
        <v>22</v>
      </c>
      <c r="E16" s="4">
        <v>0.05</v>
      </c>
      <c r="F16" s="7">
        <v>10</v>
      </c>
      <c r="G16" s="7">
        <v>7</v>
      </c>
      <c r="H16" s="7">
        <v>5</v>
      </c>
      <c r="I16" s="6">
        <f t="shared" si="1"/>
        <v>0.17499999999999999</v>
      </c>
      <c r="J16" s="6">
        <f t="shared" si="2"/>
        <v>0.12249999999999998</v>
      </c>
      <c r="K16" s="6">
        <f t="shared" si="3"/>
        <v>8.7499999999999994E-2</v>
      </c>
    </row>
    <row r="17" spans="2:11" ht="16" x14ac:dyDescent="0.35">
      <c r="B17" s="2" t="s">
        <v>25</v>
      </c>
      <c r="C17" s="5">
        <v>0.1</v>
      </c>
      <c r="D17" s="3" t="s">
        <v>23</v>
      </c>
      <c r="E17" s="4">
        <v>1</v>
      </c>
      <c r="F17" s="7">
        <v>10</v>
      </c>
      <c r="G17" s="7">
        <v>7</v>
      </c>
      <c r="H17" s="7">
        <v>5</v>
      </c>
      <c r="I17" s="6">
        <f>E17*C17*F17</f>
        <v>1</v>
      </c>
      <c r="J17" s="6">
        <f>E17*C17*G17</f>
        <v>0.70000000000000007</v>
      </c>
      <c r="K17" s="6">
        <f>C17*E17*H17</f>
        <v>0.5</v>
      </c>
    </row>
    <row r="18" spans="2:11" ht="16" x14ac:dyDescent="0.35">
      <c r="B18" s="2" t="s">
        <v>26</v>
      </c>
      <c r="C18" s="5">
        <v>0.1</v>
      </c>
      <c r="D18" s="3" t="s">
        <v>24</v>
      </c>
      <c r="E18" s="4">
        <v>1</v>
      </c>
      <c r="F18" s="7">
        <v>10</v>
      </c>
      <c r="G18" s="7">
        <v>7</v>
      </c>
      <c r="H18" s="7">
        <v>5</v>
      </c>
      <c r="I18" s="6">
        <f>E18*C18*F18</f>
        <v>1</v>
      </c>
      <c r="J18" s="6">
        <f>E18*C18*G18</f>
        <v>0.70000000000000007</v>
      </c>
      <c r="K18" s="6">
        <f>C18*E18*H18</f>
        <v>0.5</v>
      </c>
    </row>
    <row r="19" spans="2:11" ht="16" x14ac:dyDescent="0.35">
      <c r="C19" s="8"/>
      <c r="I19" s="6">
        <f>SUM(I4:I18)</f>
        <v>10</v>
      </c>
      <c r="J19" s="6">
        <f>SUM(J4:J18)</f>
        <v>6.9999999999999991</v>
      </c>
      <c r="K19" s="6">
        <f>SUM(K4:K18)</f>
        <v>5</v>
      </c>
    </row>
    <row r="20" spans="2:11" ht="16" x14ac:dyDescent="0.35">
      <c r="B20" s="16" t="s">
        <v>5</v>
      </c>
      <c r="C20" s="9" t="s">
        <v>29</v>
      </c>
      <c r="D20" s="9" t="s">
        <v>33</v>
      </c>
      <c r="E20" s="9" t="s">
        <v>32</v>
      </c>
    </row>
    <row r="21" spans="2:11" ht="16" x14ac:dyDescent="0.35">
      <c r="B21" s="16" t="s">
        <v>31</v>
      </c>
      <c r="C21" s="12" t="s">
        <v>3</v>
      </c>
      <c r="D21" s="13" t="s">
        <v>2</v>
      </c>
      <c r="E21" s="14" t="s">
        <v>1</v>
      </c>
    </row>
    <row r="23" spans="2:11" ht="58" customHeight="1" x14ac:dyDescent="0.35">
      <c r="B23" s="18" t="s">
        <v>30</v>
      </c>
      <c r="C23" s="18"/>
      <c r="D23" s="18"/>
      <c r="E23" s="18"/>
    </row>
  </sheetData>
  <mergeCells count="11">
    <mergeCell ref="I2:K2"/>
    <mergeCell ref="B23:E23"/>
    <mergeCell ref="C4:C6"/>
    <mergeCell ref="C7:C8"/>
    <mergeCell ref="C9:C10"/>
    <mergeCell ref="C11:C16"/>
    <mergeCell ref="F2:H2"/>
    <mergeCell ref="B9:B10"/>
    <mergeCell ref="B11:B16"/>
    <mergeCell ref="B4:B6"/>
    <mergeCell ref="B7:B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>EY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Sumit Jadoun</dc:creator>
  <cp:lastModifiedBy>Sumit Jadoun</cp:lastModifiedBy>
  <dcterms:created xsi:type="dcterms:W3CDTF">2026-05-26T06:13:14Z</dcterms:created>
  <dcterms:modified xsi:type="dcterms:W3CDTF">2026-05-26T07:39:00Z</dcterms:modified>
</cp:coreProperties>
</file>